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42385497\Downloads\"/>
    </mc:Choice>
  </mc:AlternateContent>
  <xr:revisionPtr revIDLastSave="0" documentId="13_ncr:1_{282DAEB1-832D-4550-A9B9-B24B985B3B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de rúbrica" sheetId="1" r:id="rId1"/>
    <sheet name="Calificación" sheetId="2" r:id="rId2"/>
    <sheet name="Matriz HU y pruebas" sheetId="3" r:id="rId3"/>
    <sheet name="Rendimient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2" l="1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C15" i="1"/>
</calcChain>
</file>

<file path=xl/sharedStrings.xml><?xml version="1.0" encoding="utf-8"?>
<sst xmlns="http://schemas.openxmlformats.org/spreadsheetml/2006/main" count="122" uniqueCount="119">
  <si>
    <t>RÚBRICA ANALÍTICA | PROYECTO FINAL DE PRUEBAS DE SOFTWARE</t>
  </si>
  <si>
    <t>Aplicable a proyectos grupales e individuales con IA • Nota máxima: 20 puntos</t>
  </si>
  <si>
    <t>N°</t>
  </si>
  <si>
    <t>Criterio</t>
  </si>
  <si>
    <t>Máximo</t>
  </si>
  <si>
    <t>Excelente (100%)</t>
  </si>
  <si>
    <t>Bueno (75%)</t>
  </si>
  <si>
    <t>Regular (50%)</t>
  </si>
  <si>
    <t>Deficiente (0–25%)</t>
  </si>
  <si>
    <t>Historias de usuario y aceptación</t>
  </si>
  <si>
    <t>HU completas, identificadas y priorizadas; roles, beneficio y criterios verificables; trazabilidad a funcionalidades.</t>
  </si>
  <si>
    <t>HU correctas con leves omisiones en prioridad o aceptación.</t>
  </si>
  <si>
    <t>HU ambiguas, criterios poco medibles o funcionalidades sin vincular.</t>
  </si>
  <si>
    <t>No presenta HU suficientes o no son comprobables.</t>
  </si>
  <si>
    <t>Diseño de casos de prueba</t>
  </si>
  <si>
    <t>Matriz exhaustiva con ID, HU, objetivo, precondiciones, datos, pasos, esperado, técnica; positivos, negativos y límites, trazabilidad.</t>
  </si>
  <si>
    <t>Casos verificables y variados; algunas omisiones de campos o escenarios.</t>
  </si>
  <si>
    <t>Casos genéricos, sin resultados esperados claros o poca cobertura.</t>
  </si>
  <si>
    <t>No documenta casos ejecutables ni vinculación con HU.</t>
  </si>
  <si>
    <t>Ejecución de pruebas funcionales</t>
  </si>
  <si>
    <t>Registra real vs esperado, estado, fecha, evidencias y cobertura; comprueba integración e IA.</t>
  </si>
  <si>
    <t>Ejecución documentada, evidencia suficiente con leves vacíos.</t>
  </si>
  <si>
    <t>Ejecución parcial, escasas evidencias o estados sin sustento.</t>
  </si>
  <si>
    <t>No demuestra ejecución o resultados.</t>
  </si>
  <si>
    <t>Pruebas de rendimiento</t>
  </si>
  <si>
    <t>Escenario y carga justificados, herramienta/configuración reproducible, p95, throughput y errores; compara umbrales y analiza hallazgos.</t>
  </si>
  <si>
    <t>Mide desempeño con configuración y gráficas, análisis parcial.</t>
  </si>
  <si>
    <t>Prueba básica sin umbrales, pocas métricas o interpretación limitada.</t>
  </si>
  <si>
    <t>No ejecuta prueba reproducible o carece de resultados.</t>
  </si>
  <si>
    <t>Gestión de defectos</t>
  </si>
  <si>
    <t>Defectos documentados con ID, severidad, pasos, evidencia, estado y reprueba; si no hay defectos, demuestra búsqueda sustentada.</t>
  </si>
  <si>
    <t>Registro utilizable pero incompleto en severidad, seguimiento o reprueba.</t>
  </si>
  <si>
    <t>Hallazgos informales, sin reproducción o seguimiento.</t>
  </si>
  <si>
    <t>No registra ni demuestra búsqueda sistemática de defectos.</t>
  </si>
  <si>
    <t>Aplicativo e integración de IA</t>
  </si>
  <si>
    <t>Funciones principales operativas; IA evaluada con consultas correctas, ambiguas, erróneas y fuera de alcance.</t>
  </si>
  <si>
    <t>Aplicativo funcional con fallas menores; cobertura IA parcial.</t>
  </si>
  <si>
    <t>Funcionalidad/IA parcialmente operativa o sin validación.</t>
  </si>
  <si>
    <t>Aplicativo no demostrable o IA inexistente.</t>
  </si>
  <si>
    <t>Informe técnico y evidencias</t>
  </si>
  <si>
    <t>Informe coherente, completo, con trazabilidad, métricas, análisis, limitaciones, resultados y anexos.</t>
  </si>
  <si>
    <t>Informe claro, con algunas omisiones.</t>
  </si>
  <si>
    <t>Informe incompleto o evidencia desorganizada.</t>
  </si>
  <si>
    <t>No presenta informe verificable.</t>
  </si>
  <si>
    <t>Exposición y sustentación</t>
  </si>
  <si>
    <t>PPT ordenado, demostración técnica, explica decisiones y responde preguntas con dominio.</t>
  </si>
  <si>
    <t>Sustentación clara con algunas dudas.</t>
  </si>
  <si>
    <t>Explica parcialmente y no sustenta decisiones.</t>
  </si>
  <si>
    <t>No demuestra dominio o no presenta.</t>
  </si>
  <si>
    <t>PUNTAJE TOTAL</t>
  </si>
  <si>
    <t>Nota: los niveles son orientativos; el docente puede asignar puntos intermedios dentro del máximo. La evaluación requiere evidencias verificables.</t>
  </si>
  <si>
    <t>REGISTRO DE CALIFICACIONES — PROYECTO FINAL</t>
  </si>
  <si>
    <t>Ingresar puntajes en columnas C:J. Celdas de nota y porcentaje son automáticas.</t>
  </si>
  <si>
    <t>Grupo / individual</t>
  </si>
  <si>
    <t>Integrantes / estudiante</t>
  </si>
  <si>
    <t>HU (3)</t>
  </si>
  <si>
    <t>Casos (4)</t>
  </si>
  <si>
    <t>Funcionales (3)</t>
  </si>
  <si>
    <t>Rendimiento (3)</t>
  </si>
  <si>
    <t>Defectos (2)</t>
  </si>
  <si>
    <t>App + IA (2)</t>
  </si>
  <si>
    <t>Informe (2)</t>
  </si>
  <si>
    <t>Exposición (1)</t>
  </si>
  <si>
    <t>TOTAL /20</t>
  </si>
  <si>
    <t>%</t>
  </si>
  <si>
    <t>Grupo 1</t>
  </si>
  <si>
    <t>Grupo 2</t>
  </si>
  <si>
    <t>Grupo 3</t>
  </si>
  <si>
    <t>Grupo 4</t>
  </si>
  <si>
    <t>Grupo 5</t>
  </si>
  <si>
    <t>Grupo 6</t>
  </si>
  <si>
    <t>Grupo 7</t>
  </si>
  <si>
    <t>Individual 1</t>
  </si>
  <si>
    <t>Individual 2</t>
  </si>
  <si>
    <t>Individual 3</t>
  </si>
  <si>
    <t>Individual 4</t>
  </si>
  <si>
    <t>MATRIZ DE TRAZABILIDAD | HISTORIAS DE USUARIO → CASOS → RESULTADOS</t>
  </si>
  <si>
    <t>Proyecto</t>
  </si>
  <si>
    <t>ID HU</t>
  </si>
  <si>
    <t>Rol</t>
  </si>
  <si>
    <t>Historia de usuario</t>
  </si>
  <si>
    <t>Criterio de aceptación</t>
  </si>
  <si>
    <t>Prioridad</t>
  </si>
  <si>
    <t>ID caso</t>
  </si>
  <si>
    <t>Tipo/técnica</t>
  </si>
  <si>
    <t>Precondiciones</t>
  </si>
  <si>
    <t>Datos de entrada</t>
  </si>
  <si>
    <t>Pasos de ejecución</t>
  </si>
  <si>
    <t>Resultado esperado</t>
  </si>
  <si>
    <t>Resultado obtenido</t>
  </si>
  <si>
    <t>Estado</t>
  </si>
  <si>
    <t>Evidencia / incidencia</t>
  </si>
  <si>
    <t>HU-003</t>
  </si>
  <si>
    <t>Estudiante</t>
  </si>
  <si>
    <t>Como estudiante quiero consultar mis notas para conocer mi rendimiento.</t>
  </si>
  <si>
    <t>Solo devuelve notas del usuario autenticado.</t>
  </si>
  <si>
    <t>Alta</t>
  </si>
  <si>
    <t>CP-001</t>
  </si>
  <si>
    <t>Positiva</t>
  </si>
  <si>
    <t>Sesión iniciada; notas cargadas</t>
  </si>
  <si>
    <t>¿Cuál es mi nota de Matemática?</t>
  </si>
  <si>
    <t>1. Abrir chat 2. Enviar consulta 3. Verificar respuesta</t>
  </si>
  <si>
    <t>Nota correcta y sin divulgar notas de terceros</t>
  </si>
  <si>
    <t>Pendiente</t>
  </si>
  <si>
    <t>REGISTRO DE PRUEBAS DE RENDIMIENTO</t>
  </si>
  <si>
    <t>ID escenario</t>
  </si>
  <si>
    <t>Objetivo / flujo</t>
  </si>
  <si>
    <t>Herramienta</t>
  </si>
  <si>
    <t>Usuarios virtuales</t>
  </si>
  <si>
    <t>Duración (min)</t>
  </si>
  <si>
    <t>Umbral p95 (ms)</t>
  </si>
  <si>
    <t>p95 real (ms)</t>
  </si>
  <si>
    <t>Throughput (req/s)</t>
  </si>
  <si>
    <t>Errores (%)</t>
  </si>
  <si>
    <t>Conclusiones / evidencia</t>
  </si>
  <si>
    <t>PR-001</t>
  </si>
  <si>
    <t>Consulta académica concurrente</t>
  </si>
  <si>
    <t>JMeter / k6</t>
  </si>
  <si>
    <t>Escenario ilustrativo: medir en entorno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</si>
</sst>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5"/>
      <color rgb="FFFFFFFF"/>
      <name val="Carlito"/>
    </font>
    <font>
      <i/>
      <sz val="11"/>
      <color rgb="FF17263F"/>
      <name val="Carlito"/>
    </font>
    <font>
      <b/>
      <sz val="11"/>
      <color rgb="FFFFFFFF"/>
      <name val="Carlito"/>
    </font>
    <font>
      <b/>
      <sz val="11"/>
      <color rgb="FF17263F"/>
      <name val="Carlito"/>
    </font>
    <font>
      <sz val="11"/>
      <color rgb="FF17263F"/>
      <name val="Carlito"/>
    </font>
    <font>
      <b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263F"/>
      </patternFill>
    </fill>
    <fill>
      <patternFill patternType="solid">
        <fgColor rgb="FFEAF5F4"/>
      </patternFill>
    </fill>
    <fill>
      <patternFill patternType="solid">
        <fgColor rgb="FF087E85"/>
      </patternFill>
    </fill>
    <fill>
      <patternFill patternType="solid">
        <fgColor rgb="FFFFF8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1"/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3" borderId="0" xfId="0" applyFont="1" applyFill="1"/>
    <xf numFmtId="0" fontId="0" fillId="5" borderId="0" xfId="0" applyFill="1"/>
    <xf numFmtId="9" fontId="0" fillId="3" borderId="0" xfId="0" applyNumberFormat="1" applyFill="1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0" fillId="0" borderId="0" xfId="0" applyAlignment="1">
      <alignment wrapText="1"/>
    </xf>
    <xf numFmtId="0" fontId="1" fillId="2" borderId="0" xfId="0" applyFont="1" applyFill="1"/>
    <xf numFmtId="0" fontId="5" fillId="3" borderId="0" xfId="0" applyFont="1" applyFill="1"/>
    <xf numFmtId="0" fontId="6" fillId="2" borderId="0" xfId="0" applyFont="1" applyFill="1"/>
    <xf numFmtId="0" fontId="0" fillId="0" borderId="0" xfId="0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pane ySplit="5" topLeftCell="A6" activePane="bottomLeft" state="frozen"/>
      <selection pane="bottomLeft" activeCell="K6" sqref="K6"/>
    </sheetView>
  </sheetViews>
  <sheetFormatPr baseColWidth="10" defaultColWidth="9" defaultRowHeight="14.25"/>
  <cols>
    <col min="1" max="1" width="7" style="16" customWidth="1"/>
    <col min="2" max="2" width="23.125" customWidth="1"/>
    <col min="3" max="3" width="8.125" style="16" customWidth="1"/>
    <col min="4" max="4" width="38.5" customWidth="1"/>
    <col min="5" max="5" width="27.875" customWidth="1"/>
    <col min="6" max="6" width="24.375" customWidth="1"/>
    <col min="7" max="7" width="20.375" style="16" customWidth="1"/>
  </cols>
  <sheetData>
    <row r="1" spans="1:7">
      <c r="A1" s="8" t="s">
        <v>0</v>
      </c>
      <c r="B1" s="8"/>
      <c r="C1" s="8"/>
      <c r="D1" s="8"/>
      <c r="E1" s="8"/>
      <c r="F1" s="8"/>
      <c r="G1" s="8"/>
    </row>
    <row r="2" spans="1:7">
      <c r="A2" s="8"/>
      <c r="B2" s="8"/>
      <c r="C2" s="8"/>
      <c r="D2" s="8"/>
      <c r="E2" s="8"/>
      <c r="F2" s="8"/>
      <c r="G2" s="8"/>
    </row>
    <row r="3" spans="1:7" ht="26.1" customHeight="1">
      <c r="A3" s="9" t="s">
        <v>1</v>
      </c>
      <c r="B3" s="9"/>
      <c r="C3" s="9"/>
      <c r="D3" s="9"/>
      <c r="E3" s="9"/>
      <c r="F3" s="9"/>
      <c r="G3" s="9"/>
    </row>
    <row r="5" spans="1:7" s="17" customFormat="1" ht="32.1" customHeight="1">
      <c r="A5" s="19" t="s">
        <v>2</v>
      </c>
      <c r="B5" s="20" t="s">
        <v>3</v>
      </c>
      <c r="C5" s="19" t="s">
        <v>4</v>
      </c>
      <c r="D5" s="20" t="s">
        <v>5</v>
      </c>
      <c r="E5" s="20" t="s">
        <v>6</v>
      </c>
      <c r="F5" s="20" t="s">
        <v>7</v>
      </c>
      <c r="G5" s="19" t="s">
        <v>8</v>
      </c>
    </row>
    <row r="6" spans="1:7" ht="110.1" customHeight="1">
      <c r="A6" s="21">
        <v>1</v>
      </c>
      <c r="B6" s="22" t="s">
        <v>9</v>
      </c>
      <c r="C6" s="21">
        <v>3</v>
      </c>
      <c r="D6" s="22" t="s">
        <v>10</v>
      </c>
      <c r="E6" s="22" t="s">
        <v>11</v>
      </c>
      <c r="F6" s="22" t="s">
        <v>12</v>
      </c>
      <c r="G6" s="21" t="s">
        <v>13</v>
      </c>
    </row>
    <row r="7" spans="1:7" ht="110.1" customHeight="1">
      <c r="A7" s="21">
        <v>2</v>
      </c>
      <c r="B7" s="22" t="s">
        <v>14</v>
      </c>
      <c r="C7" s="21">
        <v>4</v>
      </c>
      <c r="D7" s="22" t="s">
        <v>15</v>
      </c>
      <c r="E7" s="22" t="s">
        <v>16</v>
      </c>
      <c r="F7" s="22" t="s">
        <v>17</v>
      </c>
      <c r="G7" s="21" t="s">
        <v>18</v>
      </c>
    </row>
    <row r="8" spans="1:7" ht="110.1" customHeight="1">
      <c r="A8" s="21">
        <v>3</v>
      </c>
      <c r="B8" s="22" t="s">
        <v>19</v>
      </c>
      <c r="C8" s="21">
        <v>3</v>
      </c>
      <c r="D8" s="22" t="s">
        <v>20</v>
      </c>
      <c r="E8" s="22" t="s">
        <v>21</v>
      </c>
      <c r="F8" s="22" t="s">
        <v>22</v>
      </c>
      <c r="G8" s="21" t="s">
        <v>23</v>
      </c>
    </row>
    <row r="9" spans="1:7" ht="110.1" customHeight="1">
      <c r="A9" s="21">
        <v>4</v>
      </c>
      <c r="B9" s="22" t="s">
        <v>24</v>
      </c>
      <c r="C9" s="21">
        <v>3</v>
      </c>
      <c r="D9" s="22" t="s">
        <v>25</v>
      </c>
      <c r="E9" s="22" t="s">
        <v>26</v>
      </c>
      <c r="F9" s="22" t="s">
        <v>27</v>
      </c>
      <c r="G9" s="21" t="s">
        <v>28</v>
      </c>
    </row>
    <row r="10" spans="1:7" ht="110.1" customHeight="1">
      <c r="A10" s="21">
        <v>5</v>
      </c>
      <c r="B10" s="22" t="s">
        <v>29</v>
      </c>
      <c r="C10" s="21">
        <v>2</v>
      </c>
      <c r="D10" s="22" t="s">
        <v>30</v>
      </c>
      <c r="E10" s="22" t="s">
        <v>31</v>
      </c>
      <c r="F10" s="22" t="s">
        <v>32</v>
      </c>
      <c r="G10" s="21" t="s">
        <v>33</v>
      </c>
    </row>
    <row r="11" spans="1:7" ht="110.1" customHeight="1">
      <c r="A11" s="21">
        <v>6</v>
      </c>
      <c r="B11" s="22" t="s">
        <v>34</v>
      </c>
      <c r="C11" s="21">
        <v>2</v>
      </c>
      <c r="D11" s="22" t="s">
        <v>35</v>
      </c>
      <c r="E11" s="22" t="s">
        <v>36</v>
      </c>
      <c r="F11" s="22" t="s">
        <v>37</v>
      </c>
      <c r="G11" s="21" t="s">
        <v>38</v>
      </c>
    </row>
    <row r="12" spans="1:7" ht="110.1" customHeight="1">
      <c r="A12" s="21">
        <v>7</v>
      </c>
      <c r="B12" s="22" t="s">
        <v>39</v>
      </c>
      <c r="C12" s="21">
        <v>2</v>
      </c>
      <c r="D12" s="22" t="s">
        <v>40</v>
      </c>
      <c r="E12" s="22" t="s">
        <v>41</v>
      </c>
      <c r="F12" s="22" t="s">
        <v>42</v>
      </c>
      <c r="G12" s="21" t="s">
        <v>43</v>
      </c>
    </row>
    <row r="13" spans="1:7" ht="110.1" customHeight="1">
      <c r="A13" s="21">
        <v>8</v>
      </c>
      <c r="B13" s="22" t="s">
        <v>44</v>
      </c>
      <c r="C13" s="21">
        <v>1</v>
      </c>
      <c r="D13" s="22" t="s">
        <v>45</v>
      </c>
      <c r="E13" s="22" t="s">
        <v>46</v>
      </c>
      <c r="F13" s="22" t="s">
        <v>47</v>
      </c>
      <c r="G13" s="21" t="s">
        <v>48</v>
      </c>
    </row>
    <row r="14" spans="1:7" ht="6.75" customHeight="1"/>
    <row r="15" spans="1:7" ht="15">
      <c r="B15" s="5" t="s">
        <v>49</v>
      </c>
      <c r="C15" s="15">
        <f>SUM(C6:C13)</f>
        <v>20</v>
      </c>
    </row>
    <row r="17" spans="1:7" ht="35.1" customHeight="1">
      <c r="A17" s="10" t="s">
        <v>50</v>
      </c>
      <c r="B17" s="10"/>
      <c r="C17" s="10"/>
      <c r="D17" s="10"/>
      <c r="E17" s="10"/>
      <c r="F17" s="10"/>
      <c r="G17" s="10"/>
    </row>
  </sheetData>
  <mergeCells count="3">
    <mergeCell ref="A1:G2"/>
    <mergeCell ref="A3:G3"/>
    <mergeCell ref="A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pane ySplit="5" topLeftCell="A6" activePane="bottomLeft" state="frozen"/>
      <selection pane="bottomLeft" activeCell="B6" sqref="B6"/>
    </sheetView>
  </sheetViews>
  <sheetFormatPr baseColWidth="10" defaultColWidth="9" defaultRowHeight="14.25"/>
  <cols>
    <col min="1" max="1" width="17" customWidth="1"/>
    <col min="2" max="2" width="32" customWidth="1"/>
    <col min="3" max="10" width="17" customWidth="1"/>
    <col min="11" max="12" width="14" customWidth="1"/>
  </cols>
  <sheetData>
    <row r="1" spans="1:12">
      <c r="A1" s="11" t="s">
        <v>51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24.95" customHeight="1">
      <c r="A3" s="12" t="s">
        <v>52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5" spans="1:12" ht="39.950000000000003" customHeight="1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</row>
    <row r="6" spans="1:12" ht="26.1" customHeight="1">
      <c r="A6" t="s">
        <v>65</v>
      </c>
      <c r="C6" s="6"/>
      <c r="D6" s="6"/>
      <c r="E6" s="6"/>
      <c r="F6" s="6"/>
      <c r="G6" s="6"/>
      <c r="H6" s="6"/>
      <c r="I6" s="6"/>
      <c r="J6" s="6"/>
      <c r="K6" s="1" t="str">
        <f t="shared" ref="K6:K16" si="0">IF(COUNT(C6:J6)=0,"",SUM(C6:J6))</f>
        <v/>
      </c>
      <c r="L6" s="7" t="str">
        <f t="shared" ref="L6:L16" si="1">IF(K6="","",K6/20)</f>
        <v/>
      </c>
    </row>
    <row r="7" spans="1:12" ht="26.1" customHeight="1">
      <c r="A7" t="s">
        <v>66</v>
      </c>
      <c r="C7" s="6"/>
      <c r="D7" s="6"/>
      <c r="E7" s="6"/>
      <c r="F7" s="6"/>
      <c r="G7" s="6"/>
      <c r="H7" s="6"/>
      <c r="I7" s="6"/>
      <c r="J7" s="6"/>
      <c r="K7" s="1" t="str">
        <f t="shared" si="0"/>
        <v/>
      </c>
      <c r="L7" s="7" t="str">
        <f t="shared" si="1"/>
        <v/>
      </c>
    </row>
    <row r="8" spans="1:12" ht="26.1" customHeight="1">
      <c r="A8" t="s">
        <v>67</v>
      </c>
      <c r="C8" s="6"/>
      <c r="D8" s="6"/>
      <c r="E8" s="6"/>
      <c r="F8" s="6"/>
      <c r="G8" s="6"/>
      <c r="H8" s="6"/>
      <c r="I8" s="6"/>
      <c r="J8" s="6"/>
      <c r="K8" s="1" t="str">
        <f t="shared" si="0"/>
        <v/>
      </c>
      <c r="L8" s="7" t="str">
        <f t="shared" si="1"/>
        <v/>
      </c>
    </row>
    <row r="9" spans="1:12" ht="26.1" customHeight="1">
      <c r="A9" t="s">
        <v>68</v>
      </c>
      <c r="C9" s="6"/>
      <c r="D9" s="6"/>
      <c r="E9" s="6"/>
      <c r="F9" s="6"/>
      <c r="G9" s="6"/>
      <c r="H9" s="6"/>
      <c r="I9" s="6"/>
      <c r="J9" s="6"/>
      <c r="K9" s="1" t="str">
        <f t="shared" si="0"/>
        <v/>
      </c>
      <c r="L9" s="7" t="str">
        <f t="shared" si="1"/>
        <v/>
      </c>
    </row>
    <row r="10" spans="1:12" ht="26.1" customHeight="1">
      <c r="A10" t="s">
        <v>69</v>
      </c>
      <c r="C10" s="6"/>
      <c r="D10" s="6"/>
      <c r="E10" s="6"/>
      <c r="F10" s="6"/>
      <c r="G10" s="6"/>
      <c r="H10" s="6"/>
      <c r="I10" s="6"/>
      <c r="J10" s="6"/>
      <c r="K10" s="1" t="str">
        <f t="shared" si="0"/>
        <v/>
      </c>
      <c r="L10" s="7" t="str">
        <f t="shared" si="1"/>
        <v/>
      </c>
    </row>
    <row r="11" spans="1:12" ht="26.1" customHeight="1">
      <c r="A11" t="s">
        <v>70</v>
      </c>
      <c r="C11" s="6"/>
      <c r="D11" s="6"/>
      <c r="E11" s="6"/>
      <c r="F11" s="6"/>
      <c r="G11" s="6"/>
      <c r="H11" s="6"/>
      <c r="I11" s="6"/>
      <c r="J11" s="6"/>
      <c r="K11" s="1" t="str">
        <f t="shared" si="0"/>
        <v/>
      </c>
      <c r="L11" s="7" t="str">
        <f t="shared" si="1"/>
        <v/>
      </c>
    </row>
    <row r="12" spans="1:12" ht="26.1" customHeight="1">
      <c r="A12" t="s">
        <v>71</v>
      </c>
      <c r="C12" s="6"/>
      <c r="D12" s="6"/>
      <c r="E12" s="6"/>
      <c r="F12" s="6"/>
      <c r="G12" s="6"/>
      <c r="H12" s="6"/>
      <c r="I12" s="6"/>
      <c r="J12" s="6"/>
      <c r="K12" s="1" t="str">
        <f t="shared" si="0"/>
        <v/>
      </c>
      <c r="L12" s="7" t="str">
        <f t="shared" si="1"/>
        <v/>
      </c>
    </row>
    <row r="13" spans="1:12" ht="26.1" customHeight="1">
      <c r="A13" t="s">
        <v>72</v>
      </c>
      <c r="C13" s="6"/>
      <c r="D13" s="6"/>
      <c r="E13" s="6"/>
      <c r="F13" s="6"/>
      <c r="G13" s="6"/>
      <c r="H13" s="6"/>
      <c r="I13" s="6"/>
      <c r="J13" s="6"/>
      <c r="K13" s="1" t="str">
        <f t="shared" si="0"/>
        <v/>
      </c>
      <c r="L13" s="7" t="str">
        <f t="shared" si="1"/>
        <v/>
      </c>
    </row>
    <row r="14" spans="1:12" ht="26.1" customHeight="1">
      <c r="A14" t="s">
        <v>73</v>
      </c>
      <c r="C14" s="6"/>
      <c r="D14" s="6"/>
      <c r="E14" s="6"/>
      <c r="F14" s="6"/>
      <c r="G14" s="6"/>
      <c r="H14" s="6"/>
      <c r="I14" s="6"/>
      <c r="J14" s="6"/>
      <c r="K14" s="1" t="str">
        <f t="shared" si="0"/>
        <v/>
      </c>
      <c r="L14" s="7" t="str">
        <f t="shared" si="1"/>
        <v/>
      </c>
    </row>
    <row r="15" spans="1:12" ht="26.1" customHeight="1">
      <c r="A15" t="s">
        <v>74</v>
      </c>
      <c r="C15" s="6"/>
      <c r="D15" s="6"/>
      <c r="E15" s="6"/>
      <c r="F15" s="6"/>
      <c r="G15" s="6"/>
      <c r="H15" s="6"/>
      <c r="I15" s="6"/>
      <c r="J15" s="6"/>
      <c r="K15" s="1" t="str">
        <f t="shared" si="0"/>
        <v/>
      </c>
      <c r="L15" s="7" t="str">
        <f t="shared" si="1"/>
        <v/>
      </c>
    </row>
    <row r="16" spans="1:12" ht="26.1" customHeight="1">
      <c r="A16" t="s">
        <v>75</v>
      </c>
      <c r="C16" s="6"/>
      <c r="D16" s="6"/>
      <c r="E16" s="6"/>
      <c r="F16" s="6"/>
      <c r="G16" s="6"/>
      <c r="H16" s="6"/>
      <c r="I16" s="6"/>
      <c r="J16" s="6"/>
      <c r="K16" s="1" t="str">
        <f t="shared" si="0"/>
        <v/>
      </c>
      <c r="L16" s="7" t="str">
        <f t="shared" si="1"/>
        <v/>
      </c>
    </row>
  </sheetData>
  <mergeCells count="2">
    <mergeCell ref="A1:L2"/>
    <mergeCell ref="A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"/>
  <sheetViews>
    <sheetView workbookViewId="0">
      <pane ySplit="4" topLeftCell="A5" activePane="bottomLeft" state="frozen"/>
      <selection pane="bottomLeft" activeCell="A5" sqref="A5:XFD5"/>
    </sheetView>
  </sheetViews>
  <sheetFormatPr baseColWidth="10" defaultColWidth="9" defaultRowHeight="14.25"/>
  <cols>
    <col min="1" max="1" width="15" customWidth="1"/>
    <col min="2" max="2" width="12" customWidth="1"/>
    <col min="3" max="3" width="16" customWidth="1"/>
    <col min="4" max="5" width="41" customWidth="1"/>
    <col min="6" max="6" width="12" customWidth="1"/>
    <col min="7" max="7" width="13" customWidth="1"/>
    <col min="8" max="8" width="17" customWidth="1"/>
    <col min="9" max="9" width="30" customWidth="1"/>
    <col min="10" max="10" width="28" customWidth="1"/>
    <col min="11" max="11" width="42" customWidth="1"/>
    <col min="12" max="12" width="36" customWidth="1"/>
    <col min="13" max="13" width="33" customWidth="1"/>
    <col min="14" max="14" width="15" customWidth="1"/>
    <col min="15" max="15" width="30" customWidth="1"/>
  </cols>
  <sheetData>
    <row r="1" spans="1:15">
      <c r="A1" s="13" t="s">
        <v>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1:15" ht="39.950000000000003" customHeight="1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  <c r="F4" s="2" t="s">
        <v>82</v>
      </c>
      <c r="G4" s="2" t="s">
        <v>83</v>
      </c>
      <c r="H4" s="2" t="s">
        <v>84</v>
      </c>
      <c r="I4" s="2" t="s">
        <v>85</v>
      </c>
      <c r="J4" s="2" t="s">
        <v>86</v>
      </c>
      <c r="K4" s="2" t="s">
        <v>87</v>
      </c>
      <c r="L4" s="2" t="s">
        <v>88</v>
      </c>
      <c r="M4" s="2" t="s">
        <v>89</v>
      </c>
      <c r="N4" s="2" t="s">
        <v>90</v>
      </c>
      <c r="O4" s="2" t="s">
        <v>91</v>
      </c>
    </row>
    <row r="5" spans="1:15" s="18" customFormat="1" ht="54.95" customHeight="1">
      <c r="A5" s="14" t="s">
        <v>65</v>
      </c>
      <c r="B5" s="14" t="s">
        <v>92</v>
      </c>
      <c r="C5" s="14" t="s">
        <v>93</v>
      </c>
      <c r="D5" s="14" t="s">
        <v>94</v>
      </c>
      <c r="E5" s="14" t="s">
        <v>95</v>
      </c>
      <c r="F5" s="14" t="s">
        <v>96</v>
      </c>
      <c r="G5" s="14" t="s">
        <v>97</v>
      </c>
      <c r="H5" s="14" t="s">
        <v>98</v>
      </c>
      <c r="I5" s="14" t="s">
        <v>99</v>
      </c>
      <c r="J5" s="14" t="s">
        <v>100</v>
      </c>
      <c r="K5" s="14" t="s">
        <v>101</v>
      </c>
      <c r="L5" s="14" t="s">
        <v>102</v>
      </c>
      <c r="M5" s="14"/>
      <c r="N5" s="14" t="s">
        <v>103</v>
      </c>
      <c r="O5" s="14"/>
    </row>
    <row r="6" spans="1:15" ht="54.9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54.9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54.9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54.9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54.9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54.9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54.9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54.9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54.9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54.9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54.9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54.9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54.9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54.9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54.9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54.9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54.9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54.9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54.9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54.9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54.9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54.9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54.9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54.9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54.9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</sheetData>
  <mergeCells count="1">
    <mergeCell ref="A1:O2"/>
  </mergeCells>
  <dataValidations count="1">
    <dataValidation type="list" sqref="N5:N30" xr:uid="{00000000-0002-0000-0200-000000000000}">
      <formula1>"Pendiente,Aprobado,Fallido,Bloqueado"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8"/>
  <sheetViews>
    <sheetView workbookViewId="0">
      <pane ySplit="4" topLeftCell="A5" activePane="bottomLeft" state="frozen"/>
      <selection pane="bottomLeft" activeCell="E8" sqref="E8"/>
    </sheetView>
  </sheetViews>
  <sheetFormatPr baseColWidth="10" defaultColWidth="9" defaultRowHeight="14.25"/>
  <cols>
    <col min="1" max="1" width="16" customWidth="1"/>
    <col min="2" max="2" width="17" customWidth="1"/>
    <col min="3" max="3" width="31" customWidth="1"/>
    <col min="4" max="4" width="20" customWidth="1"/>
    <col min="5" max="5" width="21" customWidth="1"/>
    <col min="6" max="8" width="19" customWidth="1"/>
    <col min="9" max="9" width="21" customWidth="1"/>
    <col min="10" max="10" width="17" customWidth="1"/>
    <col min="11" max="11" width="45" customWidth="1"/>
  </cols>
  <sheetData>
    <row r="1" spans="1:11">
      <c r="A1" s="13" t="s">
        <v>104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39.950000000000003" customHeight="1">
      <c r="A4" s="2" t="s">
        <v>77</v>
      </c>
      <c r="B4" s="2" t="s">
        <v>105</v>
      </c>
      <c r="C4" s="2" t="s">
        <v>106</v>
      </c>
      <c r="D4" s="2" t="s">
        <v>107</v>
      </c>
      <c r="E4" s="2" t="s">
        <v>108</v>
      </c>
      <c r="F4" s="2" t="s">
        <v>109</v>
      </c>
      <c r="G4" s="2" t="s">
        <v>110</v>
      </c>
      <c r="H4" s="2" t="s">
        <v>111</v>
      </c>
      <c r="I4" s="2" t="s">
        <v>112</v>
      </c>
      <c r="J4" s="2" t="s">
        <v>113</v>
      </c>
      <c r="K4" s="2" t="s">
        <v>114</v>
      </c>
    </row>
    <row r="5" spans="1:11" s="17" customFormat="1" ht="36.950000000000003" customHeight="1">
      <c r="A5" s="4" t="s">
        <v>65</v>
      </c>
      <c r="B5" s="4" t="s">
        <v>115</v>
      </c>
      <c r="C5" s="4" t="s">
        <v>116</v>
      </c>
      <c r="D5" s="4" t="s">
        <v>117</v>
      </c>
      <c r="E5" s="4">
        <v>20</v>
      </c>
      <c r="F5" s="4">
        <v>5</v>
      </c>
      <c r="G5" s="4">
        <v>2000</v>
      </c>
      <c r="H5" s="4"/>
      <c r="I5" s="4"/>
      <c r="J5" s="4"/>
      <c r="K5" s="4" t="s">
        <v>118</v>
      </c>
    </row>
    <row r="6" spans="1:11" s="17" customFormat="1" ht="36.950000000000003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s="17" customFormat="1" ht="36.950000000000003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s="17" customFormat="1" ht="36.950000000000003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s="17" customFormat="1" ht="36.950000000000003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s="17" customFormat="1" ht="36.950000000000003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s="17" customFormat="1" ht="36.950000000000003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s="17" customFormat="1" ht="36.950000000000003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s="17" customFormat="1" ht="36.950000000000003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s="17" customFormat="1" ht="36.950000000000003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s="17" customFormat="1" ht="36.950000000000003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s="17" customFormat="1" ht="36.950000000000003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s="17" customFormat="1" ht="36.950000000000003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36.950000000000003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36.950000000000003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36.950000000000003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36.950000000000003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36.950000000000003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36.950000000000003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36.950000000000003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36.950000000000003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36.950000000000003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36.950000000000003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36.950000000000003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 de rúbrica</vt:lpstr>
      <vt:lpstr>Calificación</vt:lpstr>
      <vt:lpstr>Matriz HU y pruebas</vt:lpstr>
      <vt:lpstr>Rendimiento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OTI-DESARROLLO-42385497</cp:lastModifiedBy>
  <dcterms:modified xsi:type="dcterms:W3CDTF">2026-10-23T00:30:43Z</dcterms:modified>
</cp:coreProperties>
</file>